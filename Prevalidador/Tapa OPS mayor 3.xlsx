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indra365-my.sharepoint.com/personal/dacanonm_indracompany_com/Documents/Documentos/GitHub/automatizacion OPS/Prevalidador/"/>
    </mc:Choice>
  </mc:AlternateContent>
  <xr:revisionPtr revIDLastSave="14" documentId="13_ncr:1_{9740106F-1614-4473-B123-A727AECFF786}" xr6:coauthVersionLast="47" xr6:coauthVersionMax="47" xr10:uidLastSave="{084512A2-6DD2-423B-9D32-524F67EB52BF}"/>
  <bookViews>
    <workbookView xWindow="-110" yWindow="-110" windowWidth="19420" windowHeight="11500" xr2:uid="{00000000-000D-0000-FFFF-FFFF00000000}"/>
  </bookViews>
  <sheets>
    <sheet name="TAPA" sheetId="1" r:id="rId1"/>
  </sheets>
  <definedNames>
    <definedName name="_xlnm._FilterDatabase" localSheetId="0" hidden="1">TAPA!$C$7:$O$12</definedName>
    <definedName name="OLE_LINK1" localSheetId="0">TAPA!#REF!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/>
  <c r="D12" i="1"/>
  <c r="F11" i="1"/>
  <c r="D11" i="1"/>
  <c r="F10" i="1"/>
  <c r="D10" i="1"/>
  <c r="F9" i="1"/>
  <c r="D9" i="1"/>
  <c r="F8" i="1"/>
  <c r="D8" i="1"/>
  <c r="C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L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Dligenciar la justificacion del ajuste de manera breve, incluir el numero de autorizacion, valor de la transaccion, fecha que complemente el requerimiento.</t>
        </r>
      </text>
    </comment>
  </commentList>
</comments>
</file>

<file path=xl/sharedStrings.xml><?xml version="1.0" encoding="utf-8"?>
<sst xmlns="http://schemas.openxmlformats.org/spreadsheetml/2006/main" count="65" uniqueCount="41">
  <si>
    <t>CARGO</t>
  </si>
  <si>
    <t>P</t>
  </si>
  <si>
    <t>ABONO</t>
  </si>
  <si>
    <t>ABONOS OPS 2025</t>
  </si>
  <si>
    <t>CUENTAS</t>
  </si>
  <si>
    <t>CAUSA</t>
  </si>
  <si>
    <t>Entidad de la cuenta</t>
  </si>
  <si>
    <t>Centro cuenta</t>
  </si>
  <si>
    <t>filler</t>
  </si>
  <si>
    <t>numero de la cuenta</t>
  </si>
  <si>
    <t>tipo</t>
  </si>
  <si>
    <t>valor ajuste</t>
  </si>
  <si>
    <t>Cuenta a afectar</t>
  </si>
  <si>
    <t>Justificacion contable</t>
  </si>
  <si>
    <t>Cuentas contables contrapartida</t>
  </si>
  <si>
    <t>Detalle del ajuste realizado</t>
  </si>
  <si>
    <t>TIPO DE DOCUMENTO</t>
  </si>
  <si>
    <t>NUMERO DE DOCUMENTO</t>
  </si>
  <si>
    <t>DIGITO DE VERIFICACION</t>
  </si>
  <si>
    <t>0013</t>
  </si>
  <si>
    <t>0</t>
  </si>
  <si>
    <t>SALDO A FAVOR</t>
  </si>
  <si>
    <t>196095001912</t>
  </si>
  <si>
    <t>Ajuste por Saldo a Favor solicitado por el Call Center para la tarjeta N° 518841******0424 por valor de $ 2</t>
  </si>
  <si>
    <t>1</t>
  </si>
  <si>
    <t>86045177</t>
  </si>
  <si>
    <t>196095001820</t>
  </si>
  <si>
    <t>Ajuste por Saldo a Favor solicitado por el Call Center para la tarjeta N° 450407******6878 por valor de $ 199</t>
  </si>
  <si>
    <t>79162823</t>
  </si>
  <si>
    <t>Ajuste por Saldo a Favor solicitado por el Call Center para la tarjeta N° 450408******3039 por valor de $ 75</t>
  </si>
  <si>
    <t>19441499</t>
  </si>
  <si>
    <t>Ajuste por Saldo a Favor solicitado por el Call Center para la tarjeta N° 518841******6594 por valor de $ 645</t>
  </si>
  <si>
    <t>42148315</t>
  </si>
  <si>
    <t>Ajuste por Saldo a Favor solicitado por el Call Center para la tarjeta N° 450408******3664 por valor de $ 30</t>
  </si>
  <si>
    <t>12224765</t>
  </si>
  <si>
    <t>N</t>
  </si>
  <si>
    <t>11111111111111111111</t>
  </si>
  <si>
    <t>22222222222222222222</t>
  </si>
  <si>
    <t>33333333333333333333</t>
  </si>
  <si>
    <t>44444444444444444444</t>
  </si>
  <si>
    <t>55555555555555555555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</si>
</sst>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* #,##0.00_-;\-&quot;$&quot;* #,##0.00_-;_-&quot;$&quot;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12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34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Border="1" applyAlignment="1">
      <alignment horizontal="center"/>
    </xf>
    <xf numFmtId="0" fontId="2" fillId="3" borderId="5" xfId="0" applyFont="1" applyFill="1" applyBorder="1" applyAlignment="1">
      <alignment horizontal="center" vertical="center" wrapText="1"/>
    </xf>
    <xf numFmtId="49" fontId="2" fillId="3" borderId="5" xfId="0" applyNumberFormat="1" applyFont="1" applyFill="1" applyBorder="1" applyAlignment="1">
      <alignment horizontal="center" vertical="center" wrapText="1"/>
    </xf>
    <xf numFmtId="44" fontId="2" fillId="3" borderId="5" xfId="0" applyNumberFormat="1" applyFont="1" applyFill="1" applyBorder="1" applyAlignment="1">
      <alignment horizontal="center" vertical="center" wrapText="1"/>
    </xf>
    <xf numFmtId="43" fontId="8" fillId="4" borderId="5" xfId="2" applyFont="1" applyFill="1" applyBorder="1" applyAlignment="1">
      <alignment horizontal="center" vertical="center" wrapText="1"/>
    </xf>
    <xf numFmtId="49" fontId="9" fillId="5" borderId="5" xfId="0" applyNumberFormat="1" applyFont="1" applyFill="1" applyBorder="1" applyAlignment="1">
      <alignment horizontal="center"/>
    </xf>
    <xf numFmtId="0" fontId="0" fillId="5" borderId="5" xfId="0" applyFont="1" applyFill="1" applyBorder="1" applyAlignment="1">
      <alignment horizontal="center"/>
    </xf>
    <xf numFmtId="49" fontId="0" fillId="5" borderId="5" xfId="0" applyNumberFormat="1" applyFont="1" applyFill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/>
    </xf>
    <xf numFmtId="44" fontId="9" fillId="0" borderId="5" xfId="1" applyNumberFormat="1" applyFont="1" applyFill="1" applyBorder="1" applyAlignment="1">
      <alignment horizontal="right"/>
    </xf>
    <xf numFmtId="49" fontId="10" fillId="0" borderId="4" xfId="0" quotePrefix="1" applyNumberFormat="1" applyFont="1" applyFill="1" applyBorder="1" applyAlignment="1">
      <alignment horizontal="center"/>
    </xf>
    <xf numFmtId="49" fontId="9" fillId="0" borderId="5" xfId="3" applyNumberFormat="1" applyFont="1" applyFill="1" applyBorder="1" applyAlignment="1" applyProtection="1">
      <alignment horizontal="center"/>
    </xf>
    <xf numFmtId="49" fontId="0" fillId="0" borderId="5" xfId="0" quotePrefix="1" applyNumberFormat="1" applyFont="1" applyFill="1" applyBorder="1" applyAlignment="1">
      <alignment horizontal="center"/>
    </xf>
    <xf numFmtId="0" fontId="11" fillId="0" borderId="5" xfId="0" applyFont="1" applyBorder="1" applyAlignment="1">
      <alignment vertical="center"/>
    </xf>
    <xf numFmtId="49" fontId="9" fillId="0" borderId="5" xfId="3" applyNumberFormat="1" applyFont="1" applyFill="1" applyBorder="1" applyAlignment="1" applyProtection="1">
      <alignment horizontal="center"/>
      <protection locked="0"/>
    </xf>
    <xf numFmtId="49" fontId="9" fillId="0" borderId="5" xfId="3" quotePrefix="1" applyNumberFormat="1" applyFont="1" applyFill="1" applyBorder="1" applyAlignment="1" applyProtection="1">
      <alignment horizontal="center"/>
      <protection locked="0"/>
    </xf>
    <xf numFmtId="0" fontId="9" fillId="0" borderId="5" xfId="3" applyNumberFormat="1" applyFont="1" applyFill="1" applyBorder="1" applyAlignment="1" applyProtection="1">
      <alignment horizontal="center"/>
      <protection locked="0"/>
    </xf>
    <xf numFmtId="164" fontId="0" fillId="0" borderId="0" xfId="0" applyNumberFormat="1" applyFont="1"/>
    <xf numFmtId="0" fontId="0" fillId="0" borderId="0" xfId="0" applyFont="1"/>
    <xf numFmtId="164" fontId="0" fillId="0" borderId="0" xfId="0" applyNumberFormat="1"/>
    <xf numFmtId="0" fontId="6" fillId="0" borderId="0" xfId="0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4">
    <cellStyle name="Millares 10 2" xfId="2" xr:uid="{00000000-0005-0000-0000-000000000000}"/>
    <cellStyle name="Moneda" xfId="1" builtinId="4"/>
    <cellStyle name="Normal" xfId="0" builtinId="0"/>
    <cellStyle name="Normal 4" xfId="3" xr:uid="{00000000-0005-0000-0000-000003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12"/>
  <sheetViews>
    <sheetView showGridLines="0" tabSelected="1" zoomScale="85" zoomScaleNormal="85" workbookViewId="0">
      <selection activeCell="E5" sqref="E5"/>
    </sheetView>
  </sheetViews>
  <sheetFormatPr baseColWidth="10" defaultRowHeight="14.5" x14ac:dyDescent="0.35"/>
  <cols>
    <col min="1" max="2" width="2.81640625" customWidth="1"/>
    <col min="3" max="3" width="12.54296875" customWidth="1"/>
    <col min="4" max="4" width="15.54296875" customWidth="1"/>
    <col min="5" max="5" width="25.81640625" customWidth="1"/>
    <col min="6" max="6" width="12.7265625" customWidth="1"/>
    <col min="7" max="7" width="4.54296875" customWidth="1"/>
    <col min="8" max="8" width="16.7265625" style="3" bestFit="1" customWidth="1"/>
    <col min="9" max="9" width="36.81640625" customWidth="1"/>
    <col min="10" max="10" width="42.1796875" bestFit="1" customWidth="1"/>
    <col min="11" max="11" width="21.453125" style="4" customWidth="1"/>
    <col min="12" max="12" width="110" customWidth="1"/>
    <col min="13" max="13" width="19.453125" style="4" customWidth="1"/>
    <col min="14" max="14" width="23.1796875" style="4" bestFit="1" customWidth="1"/>
    <col min="15" max="15" width="14.1796875" style="4" customWidth="1"/>
    <col min="16" max="16" width="11.453125" style="24"/>
    <col min="18" max="18" width="11.81640625" bestFit="1" customWidth="1"/>
  </cols>
  <sheetData>
    <row r="1" spans="3:16" ht="24" thickBot="1" x14ac:dyDescent="0.4">
      <c r="C1" s="1" t="s">
        <v>35</v>
      </c>
      <c r="D1" s="2" t="s">
        <v>0</v>
      </c>
      <c r="E1" s="1" t="s">
        <v>1</v>
      </c>
      <c r="F1" s="2" t="s">
        <v>2</v>
      </c>
      <c r="J1" s="4"/>
      <c r="P1"/>
    </row>
    <row r="2" spans="3:16" x14ac:dyDescent="0.35">
      <c r="J2" s="4"/>
      <c r="P2"/>
    </row>
    <row r="3" spans="3:16" ht="26" x14ac:dyDescent="0.6">
      <c r="C3" s="25" t="s">
        <v>3</v>
      </c>
      <c r="D3" s="25"/>
      <c r="E3" s="25"/>
      <c r="F3" s="25"/>
      <c r="G3" s="25"/>
      <c r="H3" s="25"/>
      <c r="I3" s="25"/>
      <c r="J3" s="25"/>
      <c r="P3"/>
    </row>
    <row r="4" spans="3:16" ht="23.5" x14ac:dyDescent="0.55000000000000004">
      <c r="C4" s="26">
        <f ca="1">TODAY()</f>
        <v>46069</v>
      </c>
      <c r="D4" s="27"/>
      <c r="E4" s="27"/>
      <c r="F4" s="27"/>
      <c r="G4" s="27"/>
      <c r="H4" s="27"/>
      <c r="I4" s="27"/>
      <c r="J4" s="27"/>
      <c r="P4"/>
    </row>
    <row r="5" spans="3:16" x14ac:dyDescent="0.35">
      <c r="J5" s="4"/>
      <c r="P5"/>
    </row>
    <row r="6" spans="3:16" ht="21" x14ac:dyDescent="0.5">
      <c r="C6" s="28" t="s">
        <v>4</v>
      </c>
      <c r="D6" s="29"/>
      <c r="E6" s="29"/>
      <c r="F6" s="29"/>
      <c r="G6" s="29"/>
      <c r="H6" s="29"/>
      <c r="I6" s="30"/>
      <c r="J6" s="31" t="s">
        <v>5</v>
      </c>
      <c r="K6" s="32"/>
      <c r="L6" s="33"/>
      <c r="M6" s="5"/>
      <c r="P6"/>
    </row>
    <row r="7" spans="3:16" ht="29" x14ac:dyDescent="0.35">
      <c r="C7" s="6" t="s">
        <v>6</v>
      </c>
      <c r="D7" s="7" t="s">
        <v>7</v>
      </c>
      <c r="E7" s="6" t="s">
        <v>8</v>
      </c>
      <c r="F7" s="7" t="s">
        <v>9</v>
      </c>
      <c r="G7" s="6" t="s">
        <v>10</v>
      </c>
      <c r="H7" s="8" t="s">
        <v>11</v>
      </c>
      <c r="I7" s="6" t="s">
        <v>12</v>
      </c>
      <c r="J7" s="6" t="s">
        <v>13</v>
      </c>
      <c r="K7" s="6" t="s">
        <v>14</v>
      </c>
      <c r="L7" s="6" t="s">
        <v>15</v>
      </c>
      <c r="M7" s="9" t="s">
        <v>16</v>
      </c>
      <c r="N7" s="9" t="s">
        <v>17</v>
      </c>
      <c r="O7" s="9" t="s">
        <v>18</v>
      </c>
      <c r="P7"/>
    </row>
    <row r="8" spans="3:16" s="23" customFormat="1" ht="15.5" x14ac:dyDescent="0.35">
      <c r="C8" s="10" t="s">
        <v>19</v>
      </c>
      <c r="D8" s="11" t="str">
        <f t="shared" ref="D8:D12" si="0">MID(I8,5,4)</f>
        <v>2222</v>
      </c>
      <c r="E8" s="12" t="s">
        <v>20</v>
      </c>
      <c r="F8" s="11" t="str">
        <f t="shared" ref="F8:F12" si="1">MID(I8,12,10)</f>
        <v>222222222</v>
      </c>
      <c r="G8" s="13" t="s">
        <v>35</v>
      </c>
      <c r="H8" s="14">
        <v>40</v>
      </c>
      <c r="I8" s="15" t="s">
        <v>37</v>
      </c>
      <c r="J8" s="16" t="s">
        <v>21</v>
      </c>
      <c r="K8" s="17" t="s">
        <v>22</v>
      </c>
      <c r="L8" s="18" t="s">
        <v>23</v>
      </c>
      <c r="M8" s="19" t="s">
        <v>24</v>
      </c>
      <c r="N8" s="20" t="s">
        <v>25</v>
      </c>
      <c r="O8" s="21">
        <v>0</v>
      </c>
      <c r="P8" s="22"/>
    </row>
    <row r="9" spans="3:16" s="23" customFormat="1" ht="15.5" x14ac:dyDescent="0.35">
      <c r="C9" s="10" t="s">
        <v>19</v>
      </c>
      <c r="D9" s="11" t="str">
        <f t="shared" si="0"/>
        <v>1111</v>
      </c>
      <c r="E9" s="12" t="s">
        <v>20</v>
      </c>
      <c r="F9" s="11" t="str">
        <f t="shared" si="1"/>
        <v>111111111</v>
      </c>
      <c r="G9" s="13" t="s">
        <v>35</v>
      </c>
      <c r="H9" s="14">
        <v>3980</v>
      </c>
      <c r="I9" s="15" t="s">
        <v>36</v>
      </c>
      <c r="J9" s="16" t="s">
        <v>21</v>
      </c>
      <c r="K9" s="17" t="s">
        <v>26</v>
      </c>
      <c r="L9" s="18" t="s">
        <v>27</v>
      </c>
      <c r="M9" s="19" t="s">
        <v>24</v>
      </c>
      <c r="N9" s="20" t="s">
        <v>28</v>
      </c>
      <c r="O9" s="21">
        <v>0</v>
      </c>
      <c r="P9" s="22"/>
    </row>
    <row r="10" spans="3:16" s="23" customFormat="1" ht="15.5" x14ac:dyDescent="0.35">
      <c r="C10" s="10" t="s">
        <v>19</v>
      </c>
      <c r="D10" s="11" t="str">
        <f t="shared" si="0"/>
        <v>4444</v>
      </c>
      <c r="E10" s="12" t="s">
        <v>20</v>
      </c>
      <c r="F10" s="11" t="str">
        <f t="shared" si="1"/>
        <v>444444444</v>
      </c>
      <c r="G10" s="13" t="s">
        <v>35</v>
      </c>
      <c r="H10" s="14">
        <v>1500</v>
      </c>
      <c r="I10" s="15" t="s">
        <v>39</v>
      </c>
      <c r="J10" s="16" t="s">
        <v>21</v>
      </c>
      <c r="K10" s="17" t="s">
        <v>26</v>
      </c>
      <c r="L10" s="18" t="s">
        <v>29</v>
      </c>
      <c r="M10" s="19" t="s">
        <v>24</v>
      </c>
      <c r="N10" s="20" t="s">
        <v>30</v>
      </c>
      <c r="O10" s="21">
        <v>0</v>
      </c>
      <c r="P10" s="22"/>
    </row>
    <row r="11" spans="3:16" s="23" customFormat="1" ht="15.5" x14ac:dyDescent="0.35">
      <c r="C11" s="10" t="s">
        <v>19</v>
      </c>
      <c r="D11" s="11" t="str">
        <f t="shared" si="0"/>
        <v>5555</v>
      </c>
      <c r="E11" s="12" t="s">
        <v>20</v>
      </c>
      <c r="F11" s="11" t="str">
        <f t="shared" si="1"/>
        <v>555555555</v>
      </c>
      <c r="G11" s="13" t="s">
        <v>35</v>
      </c>
      <c r="H11" s="14">
        <v>12900</v>
      </c>
      <c r="I11" s="15" t="s">
        <v>40</v>
      </c>
      <c r="J11" s="16" t="s">
        <v>21</v>
      </c>
      <c r="K11" s="17" t="s">
        <v>22</v>
      </c>
      <c r="L11" s="18" t="s">
        <v>31</v>
      </c>
      <c r="M11" s="19" t="s">
        <v>24</v>
      </c>
      <c r="N11" s="20" t="s">
        <v>32</v>
      </c>
      <c r="O11" s="21">
        <v>0</v>
      </c>
      <c r="P11" s="22"/>
    </row>
    <row r="12" spans="3:16" s="23" customFormat="1" ht="15.5" x14ac:dyDescent="0.35">
      <c r="C12" s="10" t="s">
        <v>19</v>
      </c>
      <c r="D12" s="11" t="str">
        <f t="shared" si="0"/>
        <v>3333</v>
      </c>
      <c r="E12" s="12" t="s">
        <v>20</v>
      </c>
      <c r="F12" s="11" t="str">
        <f t="shared" si="1"/>
        <v>333333333</v>
      </c>
      <c r="G12" s="13" t="s">
        <v>35</v>
      </c>
      <c r="H12" s="14">
        <v>600</v>
      </c>
      <c r="I12" s="15" t="s">
        <v>38</v>
      </c>
      <c r="J12" s="16" t="s">
        <v>21</v>
      </c>
      <c r="K12" s="17" t="s">
        <v>26</v>
      </c>
      <c r="L12" s="18" t="s">
        <v>33</v>
      </c>
      <c r="M12" s="19" t="s">
        <v>24</v>
      </c>
      <c r="N12" s="20" t="s">
        <v>34</v>
      </c>
      <c r="O12" s="21">
        <v>0</v>
      </c>
      <c r="P12" s="22"/>
    </row>
  </sheetData>
  <mergeCells count="4">
    <mergeCell ref="C3:J3"/>
    <mergeCell ref="C4:J4"/>
    <mergeCell ref="C6:I6"/>
    <mergeCell ref="J6:L6"/>
  </mergeCells>
  <conditionalFormatting sqref="K1:K7">
    <cfRule type="duplicateValues" dxfId="0" priority="1"/>
  </conditionalFormatting>
  <pageMargins left="0.7" right="0.7" top="0.75" bottom="0.75" header="0.3" footer="0.3"/>
  <pageSetup paperSize="9" orientation="portrait" horizontalDpi="4294967294" verticalDpi="4294967294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TAPA</vt:lpstr>
    </vt:vector>
  </TitlesOfParts>
  <Company>SVRSCCM16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ALEJANDRA CORTES SILVA</dc:creator>
  <cp:lastModifiedBy>Cañon Matallana, David Alejandro</cp:lastModifiedBy>
  <dcterms:created xsi:type="dcterms:W3CDTF">2026-02-16T15:17:29Z</dcterms:created>
  <dcterms:modified xsi:type="dcterms:W3CDTF">2026-02-16T15:41:34Z</dcterms:modified>
</cp:coreProperties>
</file>